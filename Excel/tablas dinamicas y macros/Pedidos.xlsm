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xWindow="0" yWindow="60" windowWidth="9660" windowHeight="4485" tabRatio="875" activeTab="2"/>
  </bookViews>
  <sheets>
    <sheet name="Empaquetado" sheetId="21" r:id="rId1"/>
    <sheet name="Productos" sheetId="1" r:id="rId2"/>
    <sheet name="Formulario de pedidos" sheetId="19" r:id="rId3"/>
  </sheets>
  <definedNames>
    <definedName name="NúmerosSabores" localSheetId="0">#REF!</definedName>
    <definedName name="NúmerosSabores">Productos!$B$66:$B$118</definedName>
    <definedName name="NúmerosTé" localSheetId="0">#REF!</definedName>
    <definedName name="NúmerosTé">Productos!$B$6:$B$63</definedName>
    <definedName name="Productos" localSheetId="0">#REF!</definedName>
    <definedName name="Productos">Productos!$A$2:$A$3</definedName>
    <definedName name="Sabores" localSheetId="0">#REF!</definedName>
    <definedName name="Sabores">Productos!$A$66:$A$118</definedName>
    <definedName name="Tés" localSheetId="0">#REF!</definedName>
    <definedName name="Tés">Productos!$A$6:$A$63</definedName>
  </definedNames>
  <calcPr calcId="145621"/>
</workbook>
</file>

<file path=xl/calcChain.xml><?xml version="1.0" encoding="utf-8"?>
<calcChain xmlns="http://schemas.openxmlformats.org/spreadsheetml/2006/main">
  <c r="N8" i="21" l="1"/>
  <c r="M8" i="21"/>
  <c r="L8" i="21"/>
  <c r="H8" i="21"/>
  <c r="G8" i="21"/>
  <c r="F8" i="21"/>
  <c r="E8" i="21"/>
  <c r="D8" i="21"/>
  <c r="C8" i="21"/>
  <c r="N7" i="21"/>
  <c r="M7" i="21"/>
  <c r="L7" i="21"/>
  <c r="H7" i="21"/>
  <c r="G7" i="21"/>
  <c r="F7" i="21"/>
  <c r="E7" i="21"/>
  <c r="D7" i="21"/>
  <c r="C7" i="21"/>
  <c r="N6" i="21"/>
  <c r="M6" i="21"/>
  <c r="L6" i="21"/>
  <c r="H6" i="21"/>
  <c r="G6" i="21"/>
  <c r="F6" i="21"/>
  <c r="E6" i="21"/>
  <c r="D6" i="21"/>
  <c r="C6" i="21"/>
  <c r="N5" i="21"/>
  <c r="M5" i="21"/>
  <c r="L5" i="21"/>
  <c r="H5" i="21"/>
  <c r="G5" i="21"/>
  <c r="F5" i="21"/>
  <c r="E5" i="21"/>
  <c r="D5" i="21"/>
  <c r="C5" i="21"/>
  <c r="N4" i="21"/>
  <c r="M4" i="21"/>
  <c r="L4" i="21"/>
  <c r="H4" i="21"/>
  <c r="G4" i="21"/>
  <c r="F4" i="21"/>
  <c r="E4" i="21"/>
  <c r="D4" i="21"/>
  <c r="C4" i="21"/>
  <c r="N3" i="21"/>
  <c r="M3" i="21"/>
  <c r="L3" i="21"/>
  <c r="H3" i="21"/>
  <c r="G3" i="21"/>
  <c r="F3" i="21"/>
  <c r="E3" i="21"/>
  <c r="D3" i="21"/>
  <c r="C3" i="21"/>
</calcChain>
</file>

<file path=xl/sharedStrings.xml><?xml version="1.0" encoding="utf-8"?>
<sst xmlns="http://schemas.openxmlformats.org/spreadsheetml/2006/main" count="437" uniqueCount="280">
  <si>
    <t>Almendra</t>
  </si>
  <si>
    <t>Precio</t>
  </si>
  <si>
    <t>T1</t>
  </si>
  <si>
    <t>T2</t>
  </si>
  <si>
    <t>T3</t>
  </si>
  <si>
    <t>T4</t>
  </si>
  <si>
    <t>T5</t>
  </si>
  <si>
    <t>T6</t>
  </si>
  <si>
    <t>F1</t>
  </si>
  <si>
    <t>F2</t>
  </si>
  <si>
    <t>F3</t>
  </si>
  <si>
    <t>F4</t>
  </si>
  <si>
    <t>F5</t>
  </si>
  <si>
    <t>F6</t>
  </si>
  <si>
    <t>Tés</t>
  </si>
  <si>
    <t>F-0001</t>
  </si>
  <si>
    <t>F-0002</t>
  </si>
  <si>
    <t>F-0003</t>
  </si>
  <si>
    <t>F-0004</t>
  </si>
  <si>
    <t>F-0005</t>
  </si>
  <si>
    <t>F-0006</t>
  </si>
  <si>
    <t>F-0007</t>
  </si>
  <si>
    <t>F-0008</t>
  </si>
  <si>
    <t>F-0009</t>
  </si>
  <si>
    <t>F-0010</t>
  </si>
  <si>
    <t>F-0011</t>
  </si>
  <si>
    <t>F-0012</t>
  </si>
  <si>
    <t>F-0013</t>
  </si>
  <si>
    <t>F-0014</t>
  </si>
  <si>
    <t>F-0016</t>
  </si>
  <si>
    <t>F-0015</t>
  </si>
  <si>
    <t>F-0017</t>
  </si>
  <si>
    <t>F-0018</t>
  </si>
  <si>
    <t>F-0019</t>
  </si>
  <si>
    <t>F-0020</t>
  </si>
  <si>
    <t>F-0021</t>
  </si>
  <si>
    <t>F-0022</t>
  </si>
  <si>
    <t>F-0023</t>
  </si>
  <si>
    <t>F-0024</t>
  </si>
  <si>
    <t>F-0025</t>
  </si>
  <si>
    <t>F-0026</t>
  </si>
  <si>
    <t>F-0027</t>
  </si>
  <si>
    <t>F-0028</t>
  </si>
  <si>
    <t>F-0029</t>
  </si>
  <si>
    <t>F-0030</t>
  </si>
  <si>
    <t>F-0031</t>
  </si>
  <si>
    <t>F-0032</t>
  </si>
  <si>
    <t>F-0033</t>
  </si>
  <si>
    <t>F-0034</t>
  </si>
  <si>
    <t>F-0035</t>
  </si>
  <si>
    <t>F-0036</t>
  </si>
  <si>
    <t>F-0037</t>
  </si>
  <si>
    <t>F-0038</t>
  </si>
  <si>
    <t>F-0039</t>
  </si>
  <si>
    <t>F-0040</t>
  </si>
  <si>
    <t>F-0041</t>
  </si>
  <si>
    <t>F-0042</t>
  </si>
  <si>
    <t>F-0043</t>
  </si>
  <si>
    <t>F-0044</t>
  </si>
  <si>
    <t>F-0045</t>
  </si>
  <si>
    <t>F-0046</t>
  </si>
  <si>
    <t>F-0047</t>
  </si>
  <si>
    <t>F-0048</t>
  </si>
  <si>
    <t>F-0049</t>
  </si>
  <si>
    <t>F-0050</t>
  </si>
  <si>
    <t>F-0051</t>
  </si>
  <si>
    <t>F-0052</t>
  </si>
  <si>
    <t>F-0053</t>
  </si>
  <si>
    <t>T-1001</t>
  </si>
  <si>
    <t>T-1002</t>
  </si>
  <si>
    <t>T-1003</t>
  </si>
  <si>
    <t>T-1004</t>
  </si>
  <si>
    <t>T-1005</t>
  </si>
  <si>
    <t>T-1006</t>
  </si>
  <si>
    <t>T-1007</t>
  </si>
  <si>
    <t>T-1009</t>
  </si>
  <si>
    <t>T-1010</t>
  </si>
  <si>
    <t>T-1011</t>
  </si>
  <si>
    <t>T-1012</t>
  </si>
  <si>
    <t>T-1013</t>
  </si>
  <si>
    <t>T-1014</t>
  </si>
  <si>
    <t>T-1015</t>
  </si>
  <si>
    <t>T-1016</t>
  </si>
  <si>
    <t>T-1017</t>
  </si>
  <si>
    <t>T-1018</t>
  </si>
  <si>
    <t>T-1019</t>
  </si>
  <si>
    <t>T-1020</t>
  </si>
  <si>
    <t>T-1021</t>
  </si>
  <si>
    <t>T-1022</t>
  </si>
  <si>
    <t>T-1023</t>
  </si>
  <si>
    <t>T-1024</t>
  </si>
  <si>
    <t>T-1025</t>
  </si>
  <si>
    <t>T-1026</t>
  </si>
  <si>
    <t>T-1027</t>
  </si>
  <si>
    <t>T-1028</t>
  </si>
  <si>
    <t>T-1029</t>
  </si>
  <si>
    <t>T-1030</t>
  </si>
  <si>
    <t>T-1031</t>
  </si>
  <si>
    <t>T-1032</t>
  </si>
  <si>
    <t>T-1033</t>
  </si>
  <si>
    <t>T-1034</t>
  </si>
  <si>
    <t>T-1035</t>
  </si>
  <si>
    <t>T-1036</t>
  </si>
  <si>
    <t>T-1037</t>
  </si>
  <si>
    <t>T-1038</t>
  </si>
  <si>
    <t>T-1039</t>
  </si>
  <si>
    <t>T-1040</t>
  </si>
  <si>
    <t>T-1041</t>
  </si>
  <si>
    <t>T-1042</t>
  </si>
  <si>
    <t>T-1043</t>
  </si>
  <si>
    <t>T-1044</t>
  </si>
  <si>
    <t>T-1045</t>
  </si>
  <si>
    <t>T-1046</t>
  </si>
  <si>
    <t>T-1047</t>
  </si>
  <si>
    <t>T-1048</t>
  </si>
  <si>
    <t>T-1049</t>
  </si>
  <si>
    <t>T-1050</t>
  </si>
  <si>
    <t>T-1051</t>
  </si>
  <si>
    <t>T-1052</t>
  </si>
  <si>
    <t>T-1053</t>
  </si>
  <si>
    <t>T-1054</t>
  </si>
  <si>
    <t>T-1055</t>
  </si>
  <si>
    <t>T-1056</t>
  </si>
  <si>
    <t>T-1057</t>
  </si>
  <si>
    <t>T-1058</t>
  </si>
  <si>
    <t>T-1059</t>
  </si>
  <si>
    <t>Producto</t>
  </si>
  <si>
    <t>Unidades por estuche</t>
  </si>
  <si>
    <t>Estuches pedidos</t>
  </si>
  <si>
    <t>Fourth Coffee</t>
  </si>
  <si>
    <t>Número de producto</t>
  </si>
  <si>
    <t>Tipo de producto</t>
  </si>
  <si>
    <t>Hojas compactas (por cubo)</t>
  </si>
  <si>
    <t>Té de anís</t>
  </si>
  <si>
    <t>Té de manzanilla</t>
  </si>
  <si>
    <t>Té de trébol (rojo)</t>
  </si>
  <si>
    <t>Té de eneldo</t>
  </si>
  <si>
    <t>Té de ginseng</t>
  </si>
  <si>
    <t>Té de bálsamo de limón</t>
  </si>
  <si>
    <t>Té de hierba de limón</t>
  </si>
  <si>
    <t>Té de sasafrás</t>
  </si>
  <si>
    <t>Té de estevia</t>
  </si>
  <si>
    <t>Té de pimienta salvaje</t>
  </si>
  <si>
    <t>Té de orégano</t>
  </si>
  <si>
    <t>Té de raíz de kava</t>
  </si>
  <si>
    <t>Té de diente de león</t>
  </si>
  <si>
    <t>Té de monarda</t>
  </si>
  <si>
    <t>Té de nébeda</t>
  </si>
  <si>
    <t>Té de hinojo</t>
  </si>
  <si>
    <t>Té de jazmín</t>
  </si>
  <si>
    <t>Té de muérdago</t>
  </si>
  <si>
    <t>Té de rooibos (arbusto rojo)</t>
  </si>
  <si>
    <t>Té de salvia culinaria</t>
  </si>
  <si>
    <t>Té de caña de azúcar</t>
  </si>
  <si>
    <t>Té de aspérula</t>
  </si>
  <si>
    <t>Té de regaliz</t>
  </si>
  <si>
    <t>Té de jengibre</t>
  </si>
  <si>
    <t>Té de hibisco</t>
  </si>
  <si>
    <t>Té de crisantemo</t>
  </si>
  <si>
    <t>Té de bergamota</t>
  </si>
  <si>
    <t>Té de guayaba</t>
  </si>
  <si>
    <t>Té de ortiga</t>
  </si>
  <si>
    <t>Té de alcachofa</t>
  </si>
  <si>
    <t>Té de zumaque de virginia</t>
  </si>
  <si>
    <t>Té de verbena</t>
  </si>
  <si>
    <t>Té de menta</t>
  </si>
  <si>
    <t>Té de picea</t>
  </si>
  <si>
    <t>Té de milenrama</t>
  </si>
  <si>
    <t>Té de romero</t>
  </si>
  <si>
    <t>Té de hortensia</t>
  </si>
  <si>
    <t>Té de baya del saúco</t>
  </si>
  <si>
    <t>Té de tila</t>
  </si>
  <si>
    <t>Té de escaramujo</t>
  </si>
  <si>
    <t>Té de hierba de San Juan</t>
  </si>
  <si>
    <t>Té de pino</t>
  </si>
  <si>
    <t>Té de uña de gato</t>
  </si>
  <si>
    <t>Té de mirto limón</t>
  </si>
  <si>
    <t>Té de menta verde</t>
  </si>
  <si>
    <t>Té de valeriana</t>
  </si>
  <si>
    <t>Té de naranja</t>
  </si>
  <si>
    <t>Té de tomillo</t>
  </si>
  <si>
    <t>Té de salvia</t>
  </si>
  <si>
    <t>Té de limón</t>
  </si>
  <si>
    <t>Té de rosella</t>
  </si>
  <si>
    <t>Té de canela</t>
  </si>
  <si>
    <t>Té de arbusto de miel</t>
  </si>
  <si>
    <t>Té de escutelaria</t>
  </si>
  <si>
    <t>Té de espino</t>
  </si>
  <si>
    <t>Té de equinácea</t>
  </si>
  <si>
    <t>Té de alcaravea</t>
  </si>
  <si>
    <t>Té de frambuesa (rojo)</t>
  </si>
  <si>
    <t>Sabor manzana (dulce)</t>
  </si>
  <si>
    <t>Sabor a manzana (pastel)</t>
  </si>
  <si>
    <t>Sabor a albaricoque</t>
  </si>
  <si>
    <t>Sabor a banana</t>
  </si>
  <si>
    <t>Sabor a mora</t>
  </si>
  <si>
    <t>Sabor a arándano</t>
  </si>
  <si>
    <t>Sabor a mantequilla</t>
  </si>
  <si>
    <t>Sabor a sirope de caramelo</t>
  </si>
  <si>
    <t>Sabor a melón cantalupo</t>
  </si>
  <si>
    <t>Sabor a cereza</t>
  </si>
  <si>
    <t>Sabor a caramelo</t>
  </si>
  <si>
    <t>Sabor a canela</t>
  </si>
  <si>
    <t>Sabor a clavo de olor</t>
  </si>
  <si>
    <t>Sabor a cacao</t>
  </si>
  <si>
    <t>Sabor a coco</t>
  </si>
  <si>
    <t>Sabor a crema</t>
  </si>
  <si>
    <t>Sabor a grosella</t>
  </si>
  <si>
    <t>Sabor a jengibre</t>
  </si>
  <si>
    <t>Sabor a toronja</t>
  </si>
  <si>
    <t>Sabor a guayaba</t>
  </si>
  <si>
    <t>Sabor a avellana</t>
  </si>
  <si>
    <t>Sabor a hibisco</t>
  </si>
  <si>
    <t>Sabor a miel</t>
  </si>
  <si>
    <t>Sabor a melón rocío de miel</t>
  </si>
  <si>
    <t>Sabor a ráspano</t>
  </si>
  <si>
    <t>Sabor a kiwi</t>
  </si>
  <si>
    <t>Sabor a limón</t>
  </si>
  <si>
    <t>Sabor a malta</t>
  </si>
  <si>
    <t>Sabor a mandarina</t>
  </si>
  <si>
    <t>Sabor a mango</t>
  </si>
  <si>
    <t>Sabor a marionberry</t>
  </si>
  <si>
    <t>Sabor a malvaviscos</t>
  </si>
  <si>
    <t>Sabor a nuez moscada</t>
  </si>
  <si>
    <t>Sabor a naranja</t>
  </si>
  <si>
    <t>Sabor a maracuyá</t>
  </si>
  <si>
    <t>Sabor a papaya</t>
  </si>
  <si>
    <t>Sabor a melocotón</t>
  </si>
  <si>
    <t>Sabor a pera</t>
  </si>
  <si>
    <t>Sabor a menta</t>
  </si>
  <si>
    <t>Sabor a ciruela</t>
  </si>
  <si>
    <t>Sabor a piña</t>
  </si>
  <si>
    <t>Sabor a granado</t>
  </si>
  <si>
    <t>Sabor a calabaza</t>
  </si>
  <si>
    <t>Sabor a frambuesa</t>
  </si>
  <si>
    <t>Sabor a ron</t>
  </si>
  <si>
    <t>Sabor a sasafrás</t>
  </si>
  <si>
    <t>Sabor a menta verde</t>
  </si>
  <si>
    <t>Sabor a carambola</t>
  </si>
  <si>
    <t>Sabor a fresa</t>
  </si>
  <si>
    <t>Sabor a tangerina</t>
  </si>
  <si>
    <t>Sabor a vainilla</t>
  </si>
  <si>
    <t>Sabor a sandía</t>
  </si>
  <si>
    <t>PRODUCTOS</t>
  </si>
  <si>
    <t>Sabores</t>
  </si>
  <si>
    <t>Números de té</t>
  </si>
  <si>
    <t>Números de sabores</t>
  </si>
  <si>
    <t>Fecha:</t>
  </si>
  <si>
    <t>Tipo de paquete</t>
  </si>
  <si>
    <t>Número de tipo de paquete</t>
  </si>
  <si>
    <t>Té enlatado (latas de 10 onzas) paquete de 12 unidades</t>
  </si>
  <si>
    <t>Jarra saborizada de 340 gramos</t>
  </si>
  <si>
    <t>Calle principal 123</t>
  </si>
  <si>
    <t>Cualquier Lugar, EE. UU.</t>
  </si>
  <si>
    <t>555-123-4567</t>
  </si>
  <si>
    <t>Cronograma de precios de té orgánico de exportadores internacionales</t>
  </si>
  <si>
    <t>Cronograma de precios de sabores de té orgánico de exportadores internacionales</t>
  </si>
  <si>
    <t>TEA</t>
  </si>
  <si>
    <t>PYR</t>
  </si>
  <si>
    <t>ECO</t>
  </si>
  <si>
    <t xml:space="preserve">LOO </t>
  </si>
  <si>
    <t xml:space="preserve">COM </t>
  </si>
  <si>
    <t>INS</t>
  </si>
  <si>
    <t>CAN</t>
  </si>
  <si>
    <t>FL4</t>
  </si>
  <si>
    <t>FL8</t>
  </si>
  <si>
    <t>FL12</t>
  </si>
  <si>
    <t>FL16</t>
  </si>
  <si>
    <t>Tipos de paquete</t>
  </si>
  <si>
    <t>Descripción</t>
  </si>
  <si>
    <t>Saco de té (caja de 12)</t>
  </si>
  <si>
    <t>Saco de té piramidal (caja de 12)</t>
  </si>
  <si>
    <t>Saco de té ecológico (caja de 10)</t>
  </si>
  <si>
    <t>LOO</t>
  </si>
  <si>
    <t>Hojas sueltas (en gramos)</t>
  </si>
  <si>
    <t>COM</t>
  </si>
  <si>
    <t>Té instantáneo (sirve 9,5 l)</t>
  </si>
  <si>
    <t>Jarra saborizada de 113 gramos</t>
  </si>
  <si>
    <t>Jarra saborizada de 228 gramos</t>
  </si>
  <si>
    <t>Jarra saborizada de 453 gramos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</si>
</sst>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-* #,##0.00\ [$€-C0A]_-;\-* #,##0.00\ [$€-C0A]_-;_-* &quot;-&quot;??\ [$€-C0A]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164" fontId="0" fillId="0" borderId="0" xfId="1" applyFont="1"/>
    <xf numFmtId="0" fontId="0" fillId="0" borderId="0" xfId="0" applyAlignment="1">
      <alignment wrapText="1"/>
    </xf>
    <xf numFmtId="0" fontId="2" fillId="0" borderId="0" xfId="0" applyFont="1"/>
    <xf numFmtId="49" fontId="2" fillId="0" borderId="0" xfId="0" applyNumberFormat="1" applyFont="1"/>
    <xf numFmtId="49" fontId="2" fillId="0" borderId="0" xfId="1" applyNumberFormat="1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4" fillId="0" borderId="0" xfId="0" applyFont="1" applyFill="1"/>
    <xf numFmtId="164" fontId="0" fillId="0" borderId="0" xfId="1" applyFont="1" applyFill="1"/>
    <xf numFmtId="0" fontId="0" fillId="0" borderId="0" xfId="0" applyFill="1"/>
    <xf numFmtId="165" fontId="0" fillId="0" borderId="0" xfId="0" applyNumberFormat="1" applyFont="1"/>
    <xf numFmtId="165" fontId="2" fillId="0" borderId="0" xfId="0" applyNumberFormat="1" applyFont="1"/>
    <xf numFmtId="165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 wrapText="1"/>
    </xf>
    <xf numFmtId="165" fontId="2" fillId="0" borderId="0" xfId="1" applyNumberFormat="1" applyFont="1"/>
    <xf numFmtId="165" fontId="0" fillId="0" borderId="0" xfId="0" applyNumberFormat="1" applyFont="1" applyAlignment="1">
      <alignment wrapText="1"/>
    </xf>
    <xf numFmtId="165" fontId="0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left"/>
    </xf>
    <xf numFmtId="165" fontId="2" fillId="0" borderId="0" xfId="0" applyNumberFormat="1" applyFont="1" applyAlignment="1"/>
    <xf numFmtId="165" fontId="2" fillId="0" borderId="0" xfId="0" applyNumberFormat="1" applyFont="1" applyAlignment="1">
      <alignment horizontal="center" wrapText="1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23"/>
  <sheetViews>
    <sheetView workbookViewId="0">
      <selection sqref="A1:H1"/>
    </sheetView>
  </sheetViews>
  <sheetFormatPr baseColWidth="10" defaultColWidth="9.140625" defaultRowHeight="15" x14ac:dyDescent="0.25"/>
  <cols>
    <col min="1" max="1" width="8.42578125" style="12" bestFit="1" customWidth="1"/>
    <col min="2" max="2" width="9.7109375" style="12" bestFit="1" customWidth="1"/>
    <col min="3" max="3" width="55.5703125" style="12" bestFit="1" customWidth="1"/>
    <col min="4" max="4" width="8.140625" style="12" bestFit="1" customWidth="1"/>
    <col min="5" max="8" width="9.28515625" style="12" bestFit="1" customWidth="1"/>
    <col min="9" max="9" width="9.140625" style="12"/>
    <col min="10" max="10" width="4.5703125" style="12" bestFit="1" customWidth="1"/>
    <col min="11" max="14" width="8.140625" style="12" bestFit="1" customWidth="1"/>
    <col min="15" max="16384" width="9.140625" style="12"/>
  </cols>
  <sheetData>
    <row r="1" spans="1:14" ht="51.75" customHeight="1" x14ac:dyDescent="0.25">
      <c r="A1" s="21" t="s">
        <v>255</v>
      </c>
      <c r="B1" s="21"/>
      <c r="C1" s="21"/>
      <c r="D1" s="21"/>
      <c r="E1" s="21"/>
      <c r="F1" s="21"/>
      <c r="G1" s="21"/>
      <c r="H1" s="21"/>
      <c r="J1" s="21" t="s">
        <v>256</v>
      </c>
      <c r="K1" s="21"/>
      <c r="L1" s="21"/>
      <c r="M1" s="21"/>
      <c r="N1" s="21"/>
    </row>
    <row r="2" spans="1:14" ht="15.75" x14ac:dyDescent="0.25">
      <c r="A2" s="13"/>
      <c r="B2" s="14" t="s">
        <v>257</v>
      </c>
      <c r="C2" s="14" t="s">
        <v>258</v>
      </c>
      <c r="D2" s="14" t="s">
        <v>259</v>
      </c>
      <c r="E2" s="14" t="s">
        <v>260</v>
      </c>
      <c r="F2" s="14" t="s">
        <v>261</v>
      </c>
      <c r="G2" s="14" t="s">
        <v>262</v>
      </c>
      <c r="H2" s="14" t="s">
        <v>263</v>
      </c>
      <c r="J2" s="13"/>
      <c r="K2" s="15" t="s">
        <v>264</v>
      </c>
      <c r="L2" s="15" t="s">
        <v>265</v>
      </c>
      <c r="M2" s="15" t="s">
        <v>266</v>
      </c>
      <c r="N2" s="15" t="s">
        <v>267</v>
      </c>
    </row>
    <row r="3" spans="1:14" ht="15.75" x14ac:dyDescent="0.25">
      <c r="A3" s="14" t="s">
        <v>2</v>
      </c>
      <c r="B3" s="16">
        <v>1.99</v>
      </c>
      <c r="C3" s="16">
        <f t="shared" ref="C3:C8" si="0">B3*1.1</f>
        <v>2.1890000000000001</v>
      </c>
      <c r="D3" s="16">
        <f t="shared" ref="D3:D8" si="1">B3*1.4</f>
        <v>2.786</v>
      </c>
      <c r="E3" s="16">
        <f t="shared" ref="E3:E8" si="2">B3*2.1</f>
        <v>4.1790000000000003</v>
      </c>
      <c r="F3" s="16">
        <f t="shared" ref="F3:F8" si="3">B3*3.6</f>
        <v>7.1639999999999997</v>
      </c>
      <c r="G3" s="16">
        <f t="shared" ref="G3:G8" si="4">B3*5</f>
        <v>9.9499999999999993</v>
      </c>
      <c r="H3" s="16">
        <f t="shared" ref="H3:H8" si="5">B3*3.8</f>
        <v>7.5619999999999994</v>
      </c>
      <c r="J3" s="14" t="s">
        <v>8</v>
      </c>
      <c r="K3" s="16">
        <v>0.59</v>
      </c>
      <c r="L3" s="16">
        <f t="shared" ref="L3:L8" si="6">K3*1.9</f>
        <v>1.121</v>
      </c>
      <c r="M3" s="16">
        <f t="shared" ref="M3:M8" si="7">K3*2.6</f>
        <v>1.534</v>
      </c>
      <c r="N3" s="16">
        <f t="shared" ref="N3:N8" si="8">K3*3.2</f>
        <v>1.8879999999999999</v>
      </c>
    </row>
    <row r="4" spans="1:14" ht="15.75" x14ac:dyDescent="0.25">
      <c r="A4" s="14" t="s">
        <v>3</v>
      </c>
      <c r="B4" s="16">
        <v>2.4900000000000002</v>
      </c>
      <c r="C4" s="16">
        <f t="shared" si="0"/>
        <v>2.7390000000000003</v>
      </c>
      <c r="D4" s="16">
        <f t="shared" si="1"/>
        <v>3.4860000000000002</v>
      </c>
      <c r="E4" s="16">
        <f t="shared" si="2"/>
        <v>5.229000000000001</v>
      </c>
      <c r="F4" s="16">
        <f t="shared" si="3"/>
        <v>8.9640000000000004</v>
      </c>
      <c r="G4" s="16">
        <f t="shared" si="4"/>
        <v>12.450000000000001</v>
      </c>
      <c r="H4" s="16">
        <f t="shared" si="5"/>
        <v>9.4619999999999997</v>
      </c>
      <c r="J4" s="14" t="s">
        <v>9</v>
      </c>
      <c r="K4" s="16">
        <v>0.79</v>
      </c>
      <c r="L4" s="16">
        <f t="shared" si="6"/>
        <v>1.5009999999999999</v>
      </c>
      <c r="M4" s="16">
        <f t="shared" si="7"/>
        <v>2.0540000000000003</v>
      </c>
      <c r="N4" s="16">
        <f t="shared" si="8"/>
        <v>2.5280000000000005</v>
      </c>
    </row>
    <row r="5" spans="1:14" ht="15.75" x14ac:dyDescent="0.25">
      <c r="A5" s="14" t="s">
        <v>4</v>
      </c>
      <c r="B5" s="16">
        <v>3.19</v>
      </c>
      <c r="C5" s="16">
        <f t="shared" si="0"/>
        <v>3.5090000000000003</v>
      </c>
      <c r="D5" s="16">
        <f t="shared" si="1"/>
        <v>4.4659999999999993</v>
      </c>
      <c r="E5" s="16">
        <f t="shared" si="2"/>
        <v>6.6989999999999998</v>
      </c>
      <c r="F5" s="16">
        <f t="shared" si="3"/>
        <v>11.484</v>
      </c>
      <c r="G5" s="16">
        <f t="shared" si="4"/>
        <v>15.95</v>
      </c>
      <c r="H5" s="16">
        <f t="shared" si="5"/>
        <v>12.122</v>
      </c>
      <c r="J5" s="14" t="s">
        <v>10</v>
      </c>
      <c r="K5" s="16">
        <v>0.99</v>
      </c>
      <c r="L5" s="16">
        <f t="shared" si="6"/>
        <v>1.881</v>
      </c>
      <c r="M5" s="16">
        <f t="shared" si="7"/>
        <v>2.5739999999999998</v>
      </c>
      <c r="N5" s="16">
        <f t="shared" si="8"/>
        <v>3.1680000000000001</v>
      </c>
    </row>
    <row r="6" spans="1:14" ht="15.75" x14ac:dyDescent="0.25">
      <c r="A6" s="14" t="s">
        <v>5</v>
      </c>
      <c r="B6" s="16">
        <v>3.99</v>
      </c>
      <c r="C6" s="16">
        <f t="shared" si="0"/>
        <v>4.3890000000000002</v>
      </c>
      <c r="D6" s="16">
        <f t="shared" si="1"/>
        <v>5.5860000000000003</v>
      </c>
      <c r="E6" s="16">
        <f t="shared" si="2"/>
        <v>8.3790000000000013</v>
      </c>
      <c r="F6" s="16">
        <f t="shared" si="3"/>
        <v>14.364000000000001</v>
      </c>
      <c r="G6" s="16">
        <f t="shared" si="4"/>
        <v>19.950000000000003</v>
      </c>
      <c r="H6" s="16">
        <f t="shared" si="5"/>
        <v>15.162000000000001</v>
      </c>
      <c r="J6" s="14" t="s">
        <v>11</v>
      </c>
      <c r="K6" s="16">
        <v>1.19</v>
      </c>
      <c r="L6" s="16">
        <f t="shared" si="6"/>
        <v>2.2609999999999997</v>
      </c>
      <c r="M6" s="16">
        <f t="shared" si="7"/>
        <v>3.0939999999999999</v>
      </c>
      <c r="N6" s="16">
        <f t="shared" si="8"/>
        <v>3.8079999999999998</v>
      </c>
    </row>
    <row r="7" spans="1:14" ht="15.75" x14ac:dyDescent="0.25">
      <c r="A7" s="14" t="s">
        <v>6</v>
      </c>
      <c r="B7" s="16">
        <v>4.8899999999999997</v>
      </c>
      <c r="C7" s="16">
        <f t="shared" si="0"/>
        <v>5.3790000000000004</v>
      </c>
      <c r="D7" s="16">
        <f t="shared" si="1"/>
        <v>6.8459999999999992</v>
      </c>
      <c r="E7" s="16">
        <f t="shared" si="2"/>
        <v>10.269</v>
      </c>
      <c r="F7" s="16">
        <f t="shared" si="3"/>
        <v>17.603999999999999</v>
      </c>
      <c r="G7" s="16">
        <f t="shared" si="4"/>
        <v>24.45</v>
      </c>
      <c r="H7" s="16">
        <f t="shared" si="5"/>
        <v>18.581999999999997</v>
      </c>
      <c r="J7" s="14" t="s">
        <v>12</v>
      </c>
      <c r="K7" s="16">
        <v>1.39</v>
      </c>
      <c r="L7" s="16">
        <f t="shared" si="6"/>
        <v>2.6409999999999996</v>
      </c>
      <c r="M7" s="16">
        <f t="shared" si="7"/>
        <v>3.6139999999999999</v>
      </c>
      <c r="N7" s="16">
        <f t="shared" si="8"/>
        <v>4.4479999999999995</v>
      </c>
    </row>
    <row r="8" spans="1:14" ht="15.75" x14ac:dyDescent="0.25">
      <c r="A8" s="14" t="s">
        <v>7</v>
      </c>
      <c r="B8" s="16">
        <v>5.99</v>
      </c>
      <c r="C8" s="16">
        <f t="shared" si="0"/>
        <v>6.5890000000000004</v>
      </c>
      <c r="D8" s="16">
        <f t="shared" si="1"/>
        <v>8.3859999999999992</v>
      </c>
      <c r="E8" s="16">
        <f t="shared" si="2"/>
        <v>12.579000000000001</v>
      </c>
      <c r="F8" s="16">
        <f t="shared" si="3"/>
        <v>21.564</v>
      </c>
      <c r="G8" s="16">
        <f t="shared" si="4"/>
        <v>29.950000000000003</v>
      </c>
      <c r="H8" s="16">
        <f t="shared" si="5"/>
        <v>22.762</v>
      </c>
      <c r="J8" s="14" t="s">
        <v>13</v>
      </c>
      <c r="K8" s="16">
        <v>1.59</v>
      </c>
      <c r="L8" s="16">
        <f t="shared" si="6"/>
        <v>3.0209999999999999</v>
      </c>
      <c r="M8" s="16">
        <f t="shared" si="7"/>
        <v>4.1340000000000003</v>
      </c>
      <c r="N8" s="16">
        <f t="shared" si="8"/>
        <v>5.088000000000001</v>
      </c>
    </row>
    <row r="10" spans="1:14" x14ac:dyDescent="0.25">
      <c r="F10" s="17"/>
      <c r="G10" s="17"/>
      <c r="H10" s="17"/>
    </row>
    <row r="12" spans="1:14" ht="45" x14ac:dyDescent="0.25">
      <c r="A12" s="17" t="s">
        <v>268</v>
      </c>
      <c r="B12" s="17" t="s">
        <v>127</v>
      </c>
      <c r="C12" s="12" t="s">
        <v>269</v>
      </c>
    </row>
    <row r="13" spans="1:14" ht="15.75" x14ac:dyDescent="0.25">
      <c r="A13" s="12" t="s">
        <v>257</v>
      </c>
      <c r="B13" s="18">
        <v>12</v>
      </c>
      <c r="C13" s="19" t="s">
        <v>270</v>
      </c>
    </row>
    <row r="14" spans="1:14" ht="15.75" x14ac:dyDescent="0.25">
      <c r="A14" s="12" t="s">
        <v>258</v>
      </c>
      <c r="B14" s="18">
        <v>12</v>
      </c>
      <c r="C14" s="19" t="s">
        <v>271</v>
      </c>
    </row>
    <row r="15" spans="1:14" ht="15.75" x14ac:dyDescent="0.25">
      <c r="A15" s="12" t="s">
        <v>259</v>
      </c>
      <c r="B15" s="18">
        <v>15</v>
      </c>
      <c r="C15" s="19" t="s">
        <v>272</v>
      </c>
    </row>
    <row r="16" spans="1:14" ht="15.75" x14ac:dyDescent="0.25">
      <c r="A16" s="12" t="s">
        <v>273</v>
      </c>
      <c r="B16" s="18">
        <v>5</v>
      </c>
      <c r="C16" s="19" t="s">
        <v>274</v>
      </c>
    </row>
    <row r="17" spans="1:3" ht="15.75" x14ac:dyDescent="0.25">
      <c r="A17" s="12" t="s">
        <v>275</v>
      </c>
      <c r="B17" s="18">
        <v>3</v>
      </c>
      <c r="C17" s="19" t="s">
        <v>132</v>
      </c>
    </row>
    <row r="18" spans="1:3" ht="15.75" x14ac:dyDescent="0.25">
      <c r="A18" s="12" t="s">
        <v>262</v>
      </c>
      <c r="B18" s="18">
        <v>4</v>
      </c>
      <c r="C18" s="19" t="s">
        <v>276</v>
      </c>
    </row>
    <row r="19" spans="1:3" ht="15.75" x14ac:dyDescent="0.25">
      <c r="A19" s="12" t="s">
        <v>263</v>
      </c>
      <c r="B19" s="18">
        <v>4</v>
      </c>
      <c r="C19" s="19" t="s">
        <v>250</v>
      </c>
    </row>
    <row r="20" spans="1:3" ht="15.75" x14ac:dyDescent="0.25">
      <c r="A20" s="12" t="s">
        <v>264</v>
      </c>
      <c r="B20" s="18">
        <v>8</v>
      </c>
      <c r="C20" s="20" t="s">
        <v>277</v>
      </c>
    </row>
    <row r="21" spans="1:3" ht="15.75" x14ac:dyDescent="0.25">
      <c r="A21" s="12" t="s">
        <v>265</v>
      </c>
      <c r="B21" s="18">
        <v>8</v>
      </c>
      <c r="C21" s="20" t="s">
        <v>278</v>
      </c>
    </row>
    <row r="22" spans="1:3" ht="15.75" x14ac:dyDescent="0.25">
      <c r="A22" s="12" t="s">
        <v>266</v>
      </c>
      <c r="B22" s="18">
        <v>5</v>
      </c>
      <c r="C22" s="20" t="s">
        <v>251</v>
      </c>
    </row>
    <row r="23" spans="1:3" ht="15.75" x14ac:dyDescent="0.25">
      <c r="A23" s="12" t="s">
        <v>267</v>
      </c>
      <c r="B23" s="18">
        <v>4</v>
      </c>
      <c r="C23" s="20" t="s">
        <v>279</v>
      </c>
    </row>
  </sheetData>
  <mergeCells count="2">
    <mergeCell ref="A1:H1"/>
    <mergeCell ref="J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118"/>
  <sheetViews>
    <sheetView zoomScaleNormal="100" workbookViewId="0"/>
  </sheetViews>
  <sheetFormatPr baseColWidth="10" defaultColWidth="9.140625" defaultRowHeight="15" x14ac:dyDescent="0.25"/>
  <cols>
    <col min="1" max="1" width="24.42578125" bestFit="1" customWidth="1"/>
    <col min="2" max="2" width="12" customWidth="1"/>
    <col min="3" max="3" width="7.42578125" customWidth="1"/>
    <col min="5" max="5" width="9.140625" bestFit="1" customWidth="1"/>
    <col min="6" max="6" width="12.5703125" customWidth="1"/>
    <col min="7" max="7" width="10.42578125" customWidth="1"/>
    <col min="8" max="8" width="11.42578125" customWidth="1"/>
    <col min="9" max="9" width="11.5703125" bestFit="1" customWidth="1"/>
    <col min="10" max="10" width="12" bestFit="1" customWidth="1"/>
    <col min="12" max="12" width="11.140625" bestFit="1" customWidth="1"/>
  </cols>
  <sheetData>
    <row r="1" spans="1:18" x14ac:dyDescent="0.25">
      <c r="A1" t="s">
        <v>243</v>
      </c>
    </row>
    <row r="2" spans="1:18" x14ac:dyDescent="0.25">
      <c r="A2" t="s">
        <v>14</v>
      </c>
    </row>
    <row r="3" spans="1:18" x14ac:dyDescent="0.25">
      <c r="A3" t="s">
        <v>244</v>
      </c>
    </row>
    <row r="5" spans="1:18" ht="31.5" x14ac:dyDescent="0.25">
      <c r="A5" s="6" t="s">
        <v>14</v>
      </c>
      <c r="B5" s="7" t="s">
        <v>245</v>
      </c>
      <c r="C5" s="8" t="s">
        <v>1</v>
      </c>
      <c r="D5" s="2"/>
    </row>
    <row r="6" spans="1:18" ht="15.75" x14ac:dyDescent="0.25">
      <c r="A6" s="3" t="s">
        <v>133</v>
      </c>
      <c r="B6" s="4" t="s">
        <v>68</v>
      </c>
      <c r="C6" s="3" t="s">
        <v>2</v>
      </c>
      <c r="M6" s="1"/>
      <c r="N6" s="1"/>
      <c r="O6" s="1"/>
      <c r="P6" s="1"/>
      <c r="Q6" s="1"/>
      <c r="R6" s="1"/>
    </row>
    <row r="7" spans="1:18" ht="15.75" x14ac:dyDescent="0.25">
      <c r="A7" s="3" t="s">
        <v>162</v>
      </c>
      <c r="B7" s="4" t="s">
        <v>97</v>
      </c>
      <c r="C7" s="3" t="s">
        <v>6</v>
      </c>
      <c r="M7" s="1"/>
      <c r="N7" s="1"/>
      <c r="O7" s="1"/>
      <c r="P7" s="1"/>
      <c r="Q7" s="1"/>
      <c r="R7" s="1"/>
    </row>
    <row r="8" spans="1:18" ht="15.75" x14ac:dyDescent="0.25">
      <c r="A8" s="3" t="s">
        <v>146</v>
      </c>
      <c r="B8" s="4" t="s">
        <v>81</v>
      </c>
      <c r="C8" s="3" t="s">
        <v>5</v>
      </c>
      <c r="M8" s="1"/>
      <c r="N8" s="1"/>
      <c r="O8" s="1"/>
      <c r="P8" s="1"/>
      <c r="Q8" s="1"/>
      <c r="R8" s="1"/>
    </row>
    <row r="9" spans="1:18" ht="15.75" x14ac:dyDescent="0.25">
      <c r="A9" s="3" t="s">
        <v>159</v>
      </c>
      <c r="B9" s="4" t="s">
        <v>94</v>
      </c>
      <c r="C9" s="3" t="s">
        <v>5</v>
      </c>
      <c r="M9" s="1"/>
      <c r="N9" s="1"/>
      <c r="O9" s="1"/>
      <c r="P9" s="1"/>
      <c r="Q9" s="1"/>
      <c r="R9" s="1"/>
    </row>
    <row r="10" spans="1:18" ht="15.75" x14ac:dyDescent="0.25">
      <c r="A10" s="3" t="s">
        <v>189</v>
      </c>
      <c r="B10" s="4" t="s">
        <v>125</v>
      </c>
      <c r="C10" s="3" t="s">
        <v>2</v>
      </c>
      <c r="M10" s="1"/>
      <c r="N10" s="1"/>
      <c r="O10" s="1"/>
      <c r="P10" s="1"/>
      <c r="Q10" s="1"/>
      <c r="R10" s="1"/>
    </row>
    <row r="11" spans="1:18" ht="15.75" x14ac:dyDescent="0.25">
      <c r="A11" s="3" t="s">
        <v>147</v>
      </c>
      <c r="B11" s="4" t="s">
        <v>82</v>
      </c>
      <c r="C11" s="3" t="s">
        <v>3</v>
      </c>
      <c r="M11" s="1"/>
      <c r="N11" s="1"/>
      <c r="O11" s="1"/>
      <c r="P11" s="1"/>
      <c r="Q11" s="1"/>
      <c r="R11" s="1"/>
    </row>
    <row r="12" spans="1:18" ht="15.75" x14ac:dyDescent="0.25">
      <c r="A12" s="3" t="s">
        <v>175</v>
      </c>
      <c r="B12" s="4" t="s">
        <v>110</v>
      </c>
      <c r="C12" s="3" t="s">
        <v>2</v>
      </c>
    </row>
    <row r="13" spans="1:18" ht="15.75" x14ac:dyDescent="0.25">
      <c r="A13" s="3" t="s">
        <v>134</v>
      </c>
      <c r="B13" s="4" t="s">
        <v>69</v>
      </c>
      <c r="C13" s="3" t="s">
        <v>2</v>
      </c>
    </row>
    <row r="14" spans="1:18" ht="15.75" x14ac:dyDescent="0.25">
      <c r="A14" s="3" t="s">
        <v>158</v>
      </c>
      <c r="B14" s="4" t="s">
        <v>93</v>
      </c>
      <c r="C14" s="3" t="s">
        <v>2</v>
      </c>
    </row>
    <row r="15" spans="1:18" ht="15.75" x14ac:dyDescent="0.25">
      <c r="A15" s="3" t="s">
        <v>184</v>
      </c>
      <c r="B15" s="4" t="s">
        <v>119</v>
      </c>
      <c r="C15" s="3" t="s">
        <v>6</v>
      </c>
    </row>
    <row r="16" spans="1:18" ht="15.75" x14ac:dyDescent="0.25">
      <c r="A16" s="3" t="s">
        <v>135</v>
      </c>
      <c r="B16" s="4" t="s">
        <v>70</v>
      </c>
      <c r="C16" s="3" t="s">
        <v>6</v>
      </c>
    </row>
    <row r="17" spans="1:3" ht="15.75" x14ac:dyDescent="0.25">
      <c r="A17" s="3" t="s">
        <v>145</v>
      </c>
      <c r="B17" s="4" t="s">
        <v>80</v>
      </c>
      <c r="C17" s="3" t="s">
        <v>7</v>
      </c>
    </row>
    <row r="18" spans="1:3" ht="15.75" x14ac:dyDescent="0.25">
      <c r="A18" s="3" t="s">
        <v>136</v>
      </c>
      <c r="B18" s="4" t="s">
        <v>71</v>
      </c>
      <c r="C18" s="3" t="s">
        <v>4</v>
      </c>
    </row>
    <row r="19" spans="1:3" ht="15.75" x14ac:dyDescent="0.25">
      <c r="A19" s="3" t="s">
        <v>188</v>
      </c>
      <c r="B19" s="4" t="s">
        <v>123</v>
      </c>
      <c r="C19" s="3" t="s">
        <v>6</v>
      </c>
    </row>
    <row r="20" spans="1:3" ht="15.75" x14ac:dyDescent="0.25">
      <c r="A20" s="3" t="s">
        <v>170</v>
      </c>
      <c r="B20" s="4" t="s">
        <v>105</v>
      </c>
      <c r="C20" s="3" t="s">
        <v>6</v>
      </c>
    </row>
    <row r="21" spans="1:3" ht="15.75" x14ac:dyDescent="0.25">
      <c r="A21" s="3" t="s">
        <v>148</v>
      </c>
      <c r="B21" s="4" t="s">
        <v>83</v>
      </c>
      <c r="C21" s="3" t="s">
        <v>3</v>
      </c>
    </row>
    <row r="22" spans="1:3" ht="15.75" x14ac:dyDescent="0.25">
      <c r="A22" s="3" t="s">
        <v>156</v>
      </c>
      <c r="B22" s="4" t="s">
        <v>91</v>
      </c>
      <c r="C22" s="3" t="s">
        <v>4</v>
      </c>
    </row>
    <row r="23" spans="1:3" ht="15.75" x14ac:dyDescent="0.25">
      <c r="A23" s="3" t="s">
        <v>137</v>
      </c>
      <c r="B23" s="4" t="s">
        <v>72</v>
      </c>
      <c r="C23" s="3" t="s">
        <v>6</v>
      </c>
    </row>
    <row r="24" spans="1:3" ht="15.75" x14ac:dyDescent="0.25">
      <c r="A24" s="3" t="s">
        <v>160</v>
      </c>
      <c r="B24" s="4" t="s">
        <v>95</v>
      </c>
      <c r="C24" s="3" t="s">
        <v>2</v>
      </c>
    </row>
    <row r="25" spans="1:3" ht="15.75" x14ac:dyDescent="0.25">
      <c r="A25" s="3" t="s">
        <v>187</v>
      </c>
      <c r="B25" s="4" t="s">
        <v>122</v>
      </c>
      <c r="C25" s="3" t="s">
        <v>6</v>
      </c>
    </row>
    <row r="26" spans="1:3" ht="15.75" x14ac:dyDescent="0.25">
      <c r="A26" s="3" t="s">
        <v>157</v>
      </c>
      <c r="B26" s="4" t="s">
        <v>92</v>
      </c>
      <c r="C26" s="3" t="s">
        <v>4</v>
      </c>
    </row>
    <row r="27" spans="1:3" ht="15.75" x14ac:dyDescent="0.25">
      <c r="A27" s="3" t="s">
        <v>185</v>
      </c>
      <c r="B27" s="4" t="s">
        <v>120</v>
      </c>
      <c r="C27" s="3" t="s">
        <v>2</v>
      </c>
    </row>
    <row r="28" spans="1:3" ht="15.75" x14ac:dyDescent="0.25">
      <c r="A28" s="3" t="s">
        <v>169</v>
      </c>
      <c r="B28" s="4" t="s">
        <v>104</v>
      </c>
      <c r="C28" s="3" t="s">
        <v>5</v>
      </c>
    </row>
    <row r="29" spans="1:3" ht="15.75" x14ac:dyDescent="0.25">
      <c r="A29" s="3" t="s">
        <v>149</v>
      </c>
      <c r="B29" s="4" t="s">
        <v>84</v>
      </c>
      <c r="C29" s="3" t="s">
        <v>6</v>
      </c>
    </row>
    <row r="30" spans="1:3" ht="15.75" x14ac:dyDescent="0.25">
      <c r="A30" s="3" t="s">
        <v>144</v>
      </c>
      <c r="B30" s="4" t="s">
        <v>79</v>
      </c>
      <c r="C30" s="3" t="s">
        <v>6</v>
      </c>
    </row>
    <row r="31" spans="1:3" ht="15.75" x14ac:dyDescent="0.25">
      <c r="A31" s="3" t="s">
        <v>138</v>
      </c>
      <c r="B31" s="4" t="s">
        <v>73</v>
      </c>
      <c r="C31" s="3" t="s">
        <v>4</v>
      </c>
    </row>
    <row r="32" spans="1:3" ht="15.75" x14ac:dyDescent="0.25">
      <c r="A32" s="3" t="s">
        <v>139</v>
      </c>
      <c r="B32" s="4" t="s">
        <v>74</v>
      </c>
      <c r="C32" s="3" t="s">
        <v>5</v>
      </c>
    </row>
    <row r="33" spans="1:3" ht="15.75" x14ac:dyDescent="0.25">
      <c r="A33" s="3" t="s">
        <v>176</v>
      </c>
      <c r="B33" s="4" t="s">
        <v>111</v>
      </c>
      <c r="C33" s="3" t="s">
        <v>2</v>
      </c>
    </row>
    <row r="34" spans="1:3" ht="15.75" x14ac:dyDescent="0.25">
      <c r="A34" s="3" t="s">
        <v>182</v>
      </c>
      <c r="B34" s="4" t="s">
        <v>117</v>
      </c>
      <c r="C34" s="3" t="s">
        <v>2</v>
      </c>
    </row>
    <row r="35" spans="1:3" ht="15.75" x14ac:dyDescent="0.25">
      <c r="A35" s="3" t="s">
        <v>155</v>
      </c>
      <c r="B35" s="4" t="s">
        <v>90</v>
      </c>
      <c r="C35" s="3" t="s">
        <v>4</v>
      </c>
    </row>
    <row r="36" spans="1:3" ht="15.75" x14ac:dyDescent="0.25">
      <c r="A36" s="3" t="s">
        <v>171</v>
      </c>
      <c r="B36" s="4" t="s">
        <v>106</v>
      </c>
      <c r="C36" s="3" t="s">
        <v>3</v>
      </c>
    </row>
    <row r="37" spans="1:3" ht="15.75" x14ac:dyDescent="0.25">
      <c r="A37" s="3" t="s">
        <v>150</v>
      </c>
      <c r="B37" s="4" t="s">
        <v>85</v>
      </c>
      <c r="C37" s="3" t="s">
        <v>5</v>
      </c>
    </row>
    <row r="38" spans="1:3" ht="15.75" x14ac:dyDescent="0.25">
      <c r="A38" s="3" t="s">
        <v>161</v>
      </c>
      <c r="B38" s="4" t="s">
        <v>96</v>
      </c>
      <c r="C38" s="3" t="s">
        <v>4</v>
      </c>
    </row>
    <row r="39" spans="1:3" ht="15.75" x14ac:dyDescent="0.25">
      <c r="A39" s="3" t="s">
        <v>179</v>
      </c>
      <c r="B39" s="4" t="s">
        <v>114</v>
      </c>
      <c r="C39" s="3" t="s">
        <v>4</v>
      </c>
    </row>
    <row r="40" spans="1:3" ht="15.75" x14ac:dyDescent="0.25">
      <c r="A40" s="3" t="s">
        <v>143</v>
      </c>
      <c r="B40" s="4" t="s">
        <v>78</v>
      </c>
      <c r="C40" s="3" t="s">
        <v>2</v>
      </c>
    </row>
    <row r="41" spans="1:3" ht="15.75" x14ac:dyDescent="0.25">
      <c r="A41" s="3" t="s">
        <v>165</v>
      </c>
      <c r="B41" s="4" t="s">
        <v>100</v>
      </c>
      <c r="C41" s="3" t="s">
        <v>2</v>
      </c>
    </row>
    <row r="42" spans="1:3" ht="15.75" x14ac:dyDescent="0.25">
      <c r="A42" s="3" t="s">
        <v>174</v>
      </c>
      <c r="B42" s="4" t="s">
        <v>109</v>
      </c>
      <c r="C42" s="3" t="s">
        <v>3</v>
      </c>
    </row>
    <row r="43" spans="1:3" ht="15.75" x14ac:dyDescent="0.25">
      <c r="A43" s="3" t="s">
        <v>190</v>
      </c>
      <c r="B43" s="4" t="s">
        <v>124</v>
      </c>
      <c r="C43" s="3" t="s">
        <v>3</v>
      </c>
    </row>
    <row r="44" spans="1:3" ht="15.75" x14ac:dyDescent="0.25">
      <c r="A44" s="3" t="s">
        <v>151</v>
      </c>
      <c r="B44" s="4" t="s">
        <v>86</v>
      </c>
      <c r="C44" s="3" t="s">
        <v>3</v>
      </c>
    </row>
    <row r="45" spans="1:3" ht="15.75" x14ac:dyDescent="0.25">
      <c r="A45" s="3" t="s">
        <v>172</v>
      </c>
      <c r="B45" s="4" t="s">
        <v>107</v>
      </c>
      <c r="C45" s="3" t="s">
        <v>6</v>
      </c>
    </row>
    <row r="46" spans="1:3" ht="15.75" x14ac:dyDescent="0.25">
      <c r="A46" s="3" t="s">
        <v>183</v>
      </c>
      <c r="B46" s="4" t="s">
        <v>118</v>
      </c>
      <c r="C46" s="3" t="s">
        <v>6</v>
      </c>
    </row>
    <row r="47" spans="1:3" ht="15.75" x14ac:dyDescent="0.25">
      <c r="A47" s="3" t="s">
        <v>168</v>
      </c>
      <c r="B47" s="4" t="s">
        <v>103</v>
      </c>
      <c r="C47" s="3" t="s">
        <v>2</v>
      </c>
    </row>
    <row r="48" spans="1:3" ht="15.75" x14ac:dyDescent="0.25">
      <c r="A48" s="3" t="s">
        <v>152</v>
      </c>
      <c r="B48" s="4" t="s">
        <v>87</v>
      </c>
      <c r="C48" s="3" t="s">
        <v>5</v>
      </c>
    </row>
    <row r="49" spans="1:3" ht="15.75" x14ac:dyDescent="0.25">
      <c r="A49" s="3" t="s">
        <v>181</v>
      </c>
      <c r="B49" s="4" t="s">
        <v>116</v>
      </c>
      <c r="C49" s="3" t="s">
        <v>3</v>
      </c>
    </row>
    <row r="50" spans="1:3" ht="15.75" x14ac:dyDescent="0.25">
      <c r="A50" s="3" t="s">
        <v>140</v>
      </c>
      <c r="B50" s="4" t="s">
        <v>75</v>
      </c>
      <c r="C50" s="3" t="s">
        <v>5</v>
      </c>
    </row>
    <row r="51" spans="1:3" ht="15.75" x14ac:dyDescent="0.25">
      <c r="A51" s="3" t="s">
        <v>186</v>
      </c>
      <c r="B51" s="4" t="s">
        <v>121</v>
      </c>
      <c r="C51" s="3" t="s">
        <v>7</v>
      </c>
    </row>
    <row r="52" spans="1:3" ht="15.75" x14ac:dyDescent="0.25">
      <c r="A52" s="3" t="s">
        <v>177</v>
      </c>
      <c r="B52" s="4" t="s">
        <v>112</v>
      </c>
      <c r="C52" s="3" t="s">
        <v>3</v>
      </c>
    </row>
    <row r="53" spans="1:3" ht="15.75" x14ac:dyDescent="0.25">
      <c r="A53" s="3" t="s">
        <v>142</v>
      </c>
      <c r="B53" s="4" t="s">
        <v>77</v>
      </c>
      <c r="C53" s="3" t="s">
        <v>2</v>
      </c>
    </row>
    <row r="54" spans="1:3" ht="15.75" x14ac:dyDescent="0.25">
      <c r="A54" s="3" t="s">
        <v>166</v>
      </c>
      <c r="B54" s="4" t="s">
        <v>101</v>
      </c>
      <c r="C54" s="3" t="s">
        <v>6</v>
      </c>
    </row>
    <row r="55" spans="1:3" ht="15.75" x14ac:dyDescent="0.25">
      <c r="A55" s="3" t="s">
        <v>173</v>
      </c>
      <c r="B55" s="4" t="s">
        <v>108</v>
      </c>
      <c r="C55" s="3" t="s">
        <v>4</v>
      </c>
    </row>
    <row r="56" spans="1:3" ht="15.75" x14ac:dyDescent="0.25">
      <c r="A56" s="3" t="s">
        <v>163</v>
      </c>
      <c r="B56" s="4" t="s">
        <v>98</v>
      </c>
      <c r="C56" s="3" t="s">
        <v>7</v>
      </c>
    </row>
    <row r="57" spans="1:3" ht="15.75" x14ac:dyDescent="0.25">
      <c r="A57" s="3" t="s">
        <v>141</v>
      </c>
      <c r="B57" s="4" t="s">
        <v>76</v>
      </c>
      <c r="C57" s="3" t="s">
        <v>4</v>
      </c>
    </row>
    <row r="58" spans="1:3" ht="15.75" x14ac:dyDescent="0.25">
      <c r="A58" s="3" t="s">
        <v>153</v>
      </c>
      <c r="B58" s="4" t="s">
        <v>88</v>
      </c>
      <c r="C58" s="3" t="s">
        <v>4</v>
      </c>
    </row>
    <row r="59" spans="1:3" ht="15.75" x14ac:dyDescent="0.25">
      <c r="A59" s="3" t="s">
        <v>180</v>
      </c>
      <c r="B59" s="4" t="s">
        <v>115</v>
      </c>
      <c r="C59" s="3" t="s">
        <v>2</v>
      </c>
    </row>
    <row r="60" spans="1:3" ht="15.75" x14ac:dyDescent="0.25">
      <c r="A60" s="3" t="s">
        <v>178</v>
      </c>
      <c r="B60" s="4" t="s">
        <v>113</v>
      </c>
      <c r="C60" s="3" t="s">
        <v>3</v>
      </c>
    </row>
    <row r="61" spans="1:3" ht="15.75" x14ac:dyDescent="0.25">
      <c r="A61" s="3" t="s">
        <v>164</v>
      </c>
      <c r="B61" s="4" t="s">
        <v>99</v>
      </c>
      <c r="C61" s="3" t="s">
        <v>5</v>
      </c>
    </row>
    <row r="62" spans="1:3" ht="15.75" x14ac:dyDescent="0.25">
      <c r="A62" s="3" t="s">
        <v>154</v>
      </c>
      <c r="B62" s="4" t="s">
        <v>89</v>
      </c>
      <c r="C62" s="3" t="s">
        <v>2</v>
      </c>
    </row>
    <row r="63" spans="1:3" ht="15.75" x14ac:dyDescent="0.25">
      <c r="A63" s="3" t="s">
        <v>167</v>
      </c>
      <c r="B63" s="4" t="s">
        <v>102</v>
      </c>
      <c r="C63" s="3" t="s">
        <v>5</v>
      </c>
    </row>
    <row r="64" spans="1:3" ht="15.75" x14ac:dyDescent="0.25">
      <c r="A64" s="3"/>
      <c r="B64" s="4"/>
      <c r="C64" s="3"/>
    </row>
    <row r="65" spans="1:3" ht="31.5" x14ac:dyDescent="0.25">
      <c r="A65" s="6" t="s">
        <v>244</v>
      </c>
      <c r="B65" s="7" t="s">
        <v>246</v>
      </c>
      <c r="C65" s="8" t="s">
        <v>1</v>
      </c>
    </row>
    <row r="66" spans="1:3" ht="15.75" x14ac:dyDescent="0.25">
      <c r="A66" s="3" t="s">
        <v>0</v>
      </c>
      <c r="B66" s="3" t="s">
        <v>15</v>
      </c>
      <c r="C66" s="4" t="s">
        <v>8</v>
      </c>
    </row>
    <row r="67" spans="1:3" ht="15.75" x14ac:dyDescent="0.25">
      <c r="A67" s="3" t="s">
        <v>191</v>
      </c>
      <c r="B67" s="3" t="s">
        <v>25</v>
      </c>
      <c r="C67" s="4" t="s">
        <v>9</v>
      </c>
    </row>
    <row r="68" spans="1:3" ht="15.75" x14ac:dyDescent="0.25">
      <c r="A68" s="3" t="s">
        <v>192</v>
      </c>
      <c r="B68" s="3" t="s">
        <v>53</v>
      </c>
      <c r="C68" s="5" t="s">
        <v>13</v>
      </c>
    </row>
    <row r="69" spans="1:3" ht="15.75" x14ac:dyDescent="0.25">
      <c r="A69" s="3" t="s">
        <v>193</v>
      </c>
      <c r="B69" s="3" t="s">
        <v>60</v>
      </c>
      <c r="C69" s="5" t="s">
        <v>12</v>
      </c>
    </row>
    <row r="70" spans="1:3" ht="15.75" x14ac:dyDescent="0.25">
      <c r="A70" s="3" t="s">
        <v>194</v>
      </c>
      <c r="B70" s="3" t="s">
        <v>16</v>
      </c>
      <c r="C70" s="5" t="s">
        <v>10</v>
      </c>
    </row>
    <row r="71" spans="1:3" ht="15.75" x14ac:dyDescent="0.25">
      <c r="A71" s="3" t="s">
        <v>195</v>
      </c>
      <c r="B71" s="3" t="s">
        <v>34</v>
      </c>
      <c r="C71" s="4" t="s">
        <v>8</v>
      </c>
    </row>
    <row r="72" spans="1:3" ht="15.75" x14ac:dyDescent="0.25">
      <c r="A72" s="3" t="s">
        <v>196</v>
      </c>
      <c r="B72" s="3" t="s">
        <v>35</v>
      </c>
      <c r="C72" s="5" t="s">
        <v>11</v>
      </c>
    </row>
    <row r="73" spans="1:3" ht="15.75" x14ac:dyDescent="0.25">
      <c r="A73" s="3" t="s">
        <v>197</v>
      </c>
      <c r="B73" s="3" t="s">
        <v>64</v>
      </c>
      <c r="C73" s="5" t="s">
        <v>13</v>
      </c>
    </row>
    <row r="74" spans="1:3" ht="15.75" x14ac:dyDescent="0.25">
      <c r="A74" s="3" t="s">
        <v>198</v>
      </c>
      <c r="B74" s="3" t="s">
        <v>66</v>
      </c>
      <c r="C74" s="5" t="s">
        <v>11</v>
      </c>
    </row>
    <row r="75" spans="1:3" ht="15.75" x14ac:dyDescent="0.25">
      <c r="A75" s="3" t="s">
        <v>199</v>
      </c>
      <c r="B75" s="3" t="s">
        <v>24</v>
      </c>
      <c r="C75" s="5" t="s">
        <v>12</v>
      </c>
    </row>
    <row r="76" spans="1:3" ht="15.75" x14ac:dyDescent="0.25">
      <c r="A76" s="3" t="s">
        <v>201</v>
      </c>
      <c r="B76" s="3" t="s">
        <v>52</v>
      </c>
      <c r="C76" s="4" t="s">
        <v>9</v>
      </c>
    </row>
    <row r="77" spans="1:3" ht="15.75" x14ac:dyDescent="0.25">
      <c r="A77" s="3" t="s">
        <v>200</v>
      </c>
      <c r="B77" s="3" t="s">
        <v>42</v>
      </c>
      <c r="C77" s="5" t="s">
        <v>12</v>
      </c>
    </row>
    <row r="78" spans="1:3" ht="15.75" x14ac:dyDescent="0.25">
      <c r="A78" s="3" t="s">
        <v>202</v>
      </c>
      <c r="B78" s="3" t="s">
        <v>59</v>
      </c>
      <c r="C78" s="5" t="s">
        <v>11</v>
      </c>
    </row>
    <row r="79" spans="1:3" ht="15.75" x14ac:dyDescent="0.25">
      <c r="A79" s="3" t="s">
        <v>203</v>
      </c>
      <c r="B79" s="3" t="s">
        <v>54</v>
      </c>
      <c r="C79" s="5" t="s">
        <v>10</v>
      </c>
    </row>
    <row r="80" spans="1:3" ht="15.75" x14ac:dyDescent="0.25">
      <c r="A80" s="3" t="s">
        <v>204</v>
      </c>
      <c r="B80" s="3" t="s">
        <v>26</v>
      </c>
      <c r="C80" s="4" t="s">
        <v>8</v>
      </c>
    </row>
    <row r="81" spans="1:3" ht="15.75" x14ac:dyDescent="0.25">
      <c r="A81" s="3" t="s">
        <v>205</v>
      </c>
      <c r="B81" s="3" t="s">
        <v>33</v>
      </c>
      <c r="C81" s="5" t="s">
        <v>11</v>
      </c>
    </row>
    <row r="82" spans="1:3" ht="15.75" x14ac:dyDescent="0.25">
      <c r="A82" s="3" t="s">
        <v>206</v>
      </c>
      <c r="B82" s="3" t="s">
        <v>23</v>
      </c>
      <c r="C82" s="4" t="s">
        <v>8</v>
      </c>
    </row>
    <row r="83" spans="1:3" ht="15.75" x14ac:dyDescent="0.25">
      <c r="A83" s="3" t="s">
        <v>207</v>
      </c>
      <c r="B83" s="3" t="s">
        <v>17</v>
      </c>
      <c r="C83" s="5" t="s">
        <v>13</v>
      </c>
    </row>
    <row r="84" spans="1:3" ht="15.75" x14ac:dyDescent="0.25">
      <c r="A84" s="3" t="s">
        <v>208</v>
      </c>
      <c r="B84" s="3" t="s">
        <v>65</v>
      </c>
      <c r="C84" s="5" t="s">
        <v>12</v>
      </c>
    </row>
    <row r="85" spans="1:3" ht="15.75" x14ac:dyDescent="0.25">
      <c r="A85" s="3" t="s">
        <v>209</v>
      </c>
      <c r="B85" s="3" t="s">
        <v>39</v>
      </c>
      <c r="C85" s="5" t="s">
        <v>13</v>
      </c>
    </row>
    <row r="86" spans="1:3" ht="15.75" x14ac:dyDescent="0.25">
      <c r="A86" s="3" t="s">
        <v>210</v>
      </c>
      <c r="B86" s="3" t="s">
        <v>43</v>
      </c>
      <c r="C86" s="5" t="s">
        <v>12</v>
      </c>
    </row>
    <row r="87" spans="1:3" ht="15.75" x14ac:dyDescent="0.25">
      <c r="A87" s="3" t="s">
        <v>211</v>
      </c>
      <c r="B87" s="3" t="s">
        <v>61</v>
      </c>
      <c r="C87" s="5" t="s">
        <v>13</v>
      </c>
    </row>
    <row r="88" spans="1:3" ht="15.75" x14ac:dyDescent="0.25">
      <c r="A88" s="3" t="s">
        <v>212</v>
      </c>
      <c r="B88" s="3" t="s">
        <v>55</v>
      </c>
      <c r="C88" s="4" t="s">
        <v>8</v>
      </c>
    </row>
    <row r="89" spans="1:3" ht="15.75" x14ac:dyDescent="0.25">
      <c r="A89" s="3" t="s">
        <v>213</v>
      </c>
      <c r="B89" s="3" t="s">
        <v>22</v>
      </c>
      <c r="C89" s="5" t="s">
        <v>11</v>
      </c>
    </row>
    <row r="90" spans="1:3" ht="15.75" x14ac:dyDescent="0.25">
      <c r="A90" s="3" t="s">
        <v>214</v>
      </c>
      <c r="B90" s="3" t="s">
        <v>40</v>
      </c>
      <c r="C90" s="5" t="s">
        <v>13</v>
      </c>
    </row>
    <row r="91" spans="1:3" ht="15.75" x14ac:dyDescent="0.25">
      <c r="A91" s="3" t="s">
        <v>215</v>
      </c>
      <c r="B91" s="3" t="s">
        <v>44</v>
      </c>
      <c r="C91" s="5" t="s">
        <v>11</v>
      </c>
    </row>
    <row r="92" spans="1:3" ht="15.75" x14ac:dyDescent="0.25">
      <c r="A92" s="3" t="s">
        <v>216</v>
      </c>
      <c r="B92" s="3" t="s">
        <v>32</v>
      </c>
      <c r="C92" s="4" t="s">
        <v>9</v>
      </c>
    </row>
    <row r="93" spans="1:3" ht="15.75" x14ac:dyDescent="0.25">
      <c r="A93" s="3" t="s">
        <v>217</v>
      </c>
      <c r="B93" s="3" t="s">
        <v>51</v>
      </c>
      <c r="C93" s="5" t="s">
        <v>10</v>
      </c>
    </row>
    <row r="94" spans="1:3" ht="15.75" x14ac:dyDescent="0.25">
      <c r="A94" s="3" t="s">
        <v>218</v>
      </c>
      <c r="B94" s="3" t="s">
        <v>27</v>
      </c>
      <c r="C94" s="4" t="s">
        <v>8</v>
      </c>
    </row>
    <row r="95" spans="1:3" ht="15.75" x14ac:dyDescent="0.25">
      <c r="A95" s="3" t="s">
        <v>219</v>
      </c>
      <c r="B95" s="3" t="s">
        <v>18</v>
      </c>
      <c r="C95" s="5" t="s">
        <v>13</v>
      </c>
    </row>
    <row r="96" spans="1:3" ht="15.75" x14ac:dyDescent="0.25">
      <c r="A96" s="3" t="s">
        <v>220</v>
      </c>
      <c r="B96" s="3" t="s">
        <v>49</v>
      </c>
      <c r="C96" s="5" t="s">
        <v>11</v>
      </c>
    </row>
    <row r="97" spans="1:3" ht="15.75" x14ac:dyDescent="0.25">
      <c r="A97" s="3" t="s">
        <v>221</v>
      </c>
      <c r="B97" s="3" t="s">
        <v>36</v>
      </c>
      <c r="C97" s="5" t="s">
        <v>13</v>
      </c>
    </row>
    <row r="98" spans="1:3" ht="15.75" x14ac:dyDescent="0.25">
      <c r="A98" s="3" t="s">
        <v>222</v>
      </c>
      <c r="B98" s="3" t="s">
        <v>58</v>
      </c>
      <c r="C98" s="5" t="s">
        <v>13</v>
      </c>
    </row>
    <row r="99" spans="1:3" ht="15.75" x14ac:dyDescent="0.25">
      <c r="A99" s="3" t="s">
        <v>223</v>
      </c>
      <c r="B99" s="3" t="s">
        <v>31</v>
      </c>
      <c r="C99" s="5" t="s">
        <v>10</v>
      </c>
    </row>
    <row r="100" spans="1:3" ht="15.75" x14ac:dyDescent="0.25">
      <c r="A100" s="3" t="s">
        <v>224</v>
      </c>
      <c r="B100" s="3" t="s">
        <v>45</v>
      </c>
      <c r="C100" s="5" t="s">
        <v>11</v>
      </c>
    </row>
    <row r="101" spans="1:3" ht="15.75" x14ac:dyDescent="0.25">
      <c r="A101" s="3" t="s">
        <v>226</v>
      </c>
      <c r="B101" s="3" t="s">
        <v>50</v>
      </c>
      <c r="C101" s="5" t="s">
        <v>10</v>
      </c>
    </row>
    <row r="102" spans="1:3" ht="15.75" x14ac:dyDescent="0.25">
      <c r="A102" s="3" t="s">
        <v>225</v>
      </c>
      <c r="B102" s="3" t="s">
        <v>21</v>
      </c>
      <c r="C102" s="5" t="s">
        <v>11</v>
      </c>
    </row>
    <row r="103" spans="1:3" ht="15.75" x14ac:dyDescent="0.25">
      <c r="A103" s="3" t="s">
        <v>227</v>
      </c>
      <c r="B103" s="3" t="s">
        <v>28</v>
      </c>
      <c r="C103" s="5" t="s">
        <v>11</v>
      </c>
    </row>
    <row r="104" spans="1:3" ht="15.75" x14ac:dyDescent="0.25">
      <c r="A104" s="3" t="s">
        <v>228</v>
      </c>
      <c r="B104" s="3" t="s">
        <v>62</v>
      </c>
      <c r="C104" s="4" t="s">
        <v>9</v>
      </c>
    </row>
    <row r="105" spans="1:3" ht="15.75" x14ac:dyDescent="0.25">
      <c r="A105" s="3" t="s">
        <v>229</v>
      </c>
      <c r="B105" s="3" t="s">
        <v>48</v>
      </c>
      <c r="C105" s="5" t="s">
        <v>11</v>
      </c>
    </row>
    <row r="106" spans="1:3" ht="15.75" x14ac:dyDescent="0.25">
      <c r="A106" s="3" t="s">
        <v>231</v>
      </c>
      <c r="B106" s="3" t="s">
        <v>19</v>
      </c>
      <c r="C106" s="4" t="s">
        <v>9</v>
      </c>
    </row>
    <row r="107" spans="1:3" ht="15.75" x14ac:dyDescent="0.25">
      <c r="A107" s="3" t="s">
        <v>230</v>
      </c>
      <c r="B107" s="3" t="s">
        <v>29</v>
      </c>
      <c r="C107" s="5" t="s">
        <v>10</v>
      </c>
    </row>
    <row r="108" spans="1:3" ht="15.75" x14ac:dyDescent="0.25">
      <c r="A108" s="3" t="s">
        <v>232</v>
      </c>
      <c r="B108" s="3" t="s">
        <v>41</v>
      </c>
      <c r="C108" s="5" t="s">
        <v>11</v>
      </c>
    </row>
    <row r="109" spans="1:3" ht="15.75" x14ac:dyDescent="0.25">
      <c r="A109" s="3" t="s">
        <v>233</v>
      </c>
      <c r="B109" s="3" t="s">
        <v>56</v>
      </c>
      <c r="C109" s="5" t="s">
        <v>12</v>
      </c>
    </row>
    <row r="110" spans="1:3" ht="15.75" x14ac:dyDescent="0.25">
      <c r="A110" s="3" t="s">
        <v>234</v>
      </c>
      <c r="B110" s="3" t="s">
        <v>37</v>
      </c>
      <c r="C110" s="4" t="s">
        <v>8</v>
      </c>
    </row>
    <row r="111" spans="1:3" ht="15.75" x14ac:dyDescent="0.25">
      <c r="A111" s="3" t="s">
        <v>235</v>
      </c>
      <c r="B111" s="3" t="s">
        <v>46</v>
      </c>
      <c r="C111" s="4" t="s">
        <v>8</v>
      </c>
    </row>
    <row r="112" spans="1:3" ht="15.75" x14ac:dyDescent="0.25">
      <c r="A112" s="3" t="s">
        <v>236</v>
      </c>
      <c r="B112" s="3" t="s">
        <v>67</v>
      </c>
      <c r="C112" s="5" t="s">
        <v>13</v>
      </c>
    </row>
    <row r="113" spans="1:3" ht="15.75" x14ac:dyDescent="0.25">
      <c r="A113" s="3" t="s">
        <v>237</v>
      </c>
      <c r="B113" s="3" t="s">
        <v>38</v>
      </c>
      <c r="C113" s="5" t="s">
        <v>10</v>
      </c>
    </row>
    <row r="114" spans="1:3" ht="15.75" x14ac:dyDescent="0.25">
      <c r="A114" s="3" t="s">
        <v>238</v>
      </c>
      <c r="B114" s="3" t="s">
        <v>63</v>
      </c>
      <c r="C114" s="5" t="s">
        <v>11</v>
      </c>
    </row>
    <row r="115" spans="1:3" ht="15.75" x14ac:dyDescent="0.25">
      <c r="A115" s="3" t="s">
        <v>239</v>
      </c>
      <c r="B115" s="3" t="s">
        <v>57</v>
      </c>
      <c r="C115" s="4" t="s">
        <v>9</v>
      </c>
    </row>
    <row r="116" spans="1:3" ht="15.75" x14ac:dyDescent="0.25">
      <c r="A116" s="3" t="s">
        <v>240</v>
      </c>
      <c r="B116" s="3" t="s">
        <v>30</v>
      </c>
      <c r="C116" s="5" t="s">
        <v>12</v>
      </c>
    </row>
    <row r="117" spans="1:3" ht="15.75" x14ac:dyDescent="0.25">
      <c r="A117" s="3" t="s">
        <v>241</v>
      </c>
      <c r="B117" s="3" t="s">
        <v>20</v>
      </c>
      <c r="C117" s="4" t="s">
        <v>8</v>
      </c>
    </row>
    <row r="118" spans="1:3" ht="15.75" x14ac:dyDescent="0.25">
      <c r="A118" s="3" t="s">
        <v>242</v>
      </c>
      <c r="B118" s="3" t="s">
        <v>47</v>
      </c>
      <c r="C118" s="4" t="s">
        <v>9</v>
      </c>
    </row>
  </sheetData>
  <sortState ref="A6:C63">
    <sortCondition ref="A6:A6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18"/>
  <sheetViews>
    <sheetView tabSelected="1" workbookViewId="0"/>
  </sheetViews>
  <sheetFormatPr baseColWidth="10" defaultColWidth="9.140625" defaultRowHeight="15" x14ac:dyDescent="0.25"/>
  <cols>
    <col min="1" max="1" width="18.5703125" customWidth="1"/>
    <col min="2" max="2" width="24.28515625" bestFit="1" customWidth="1"/>
    <col min="3" max="3" width="19.7109375" bestFit="1" customWidth="1"/>
    <col min="4" max="4" width="48.42578125" bestFit="1" customWidth="1"/>
    <col min="5" max="5" width="26.140625" bestFit="1" customWidth="1"/>
    <col min="6" max="6" width="20.42578125" bestFit="1" customWidth="1"/>
    <col min="7" max="7" width="16.42578125" bestFit="1" customWidth="1"/>
  </cols>
  <sheetData>
    <row r="1" spans="1:19" x14ac:dyDescent="0.25">
      <c r="A1" t="s">
        <v>129</v>
      </c>
      <c r="C1" t="s">
        <v>247</v>
      </c>
      <c r="F1" s="1"/>
    </row>
    <row r="2" spans="1:19" x14ac:dyDescent="0.25">
      <c r="A2" t="s">
        <v>252</v>
      </c>
      <c r="F2" s="1"/>
    </row>
    <row r="3" spans="1:19" x14ac:dyDescent="0.25">
      <c r="A3" t="s">
        <v>253</v>
      </c>
      <c r="F3" s="1"/>
    </row>
    <row r="4" spans="1:19" x14ac:dyDescent="0.25">
      <c r="A4" t="s">
        <v>254</v>
      </c>
      <c r="F4" s="1"/>
    </row>
    <row r="5" spans="1:19" x14ac:dyDescent="0.25">
      <c r="F5" s="1"/>
    </row>
    <row r="6" spans="1:19" x14ac:dyDescent="0.25">
      <c r="F6" s="1"/>
    </row>
    <row r="7" spans="1:19" x14ac:dyDescent="0.25">
      <c r="A7" t="s">
        <v>131</v>
      </c>
      <c r="B7" t="s">
        <v>126</v>
      </c>
      <c r="C7" t="s">
        <v>130</v>
      </c>
      <c r="D7" t="s">
        <v>248</v>
      </c>
      <c r="E7" t="s">
        <v>249</v>
      </c>
      <c r="F7" t="s">
        <v>127</v>
      </c>
      <c r="G7" t="s">
        <v>128</v>
      </c>
      <c r="H7" s="1"/>
    </row>
    <row r="8" spans="1:19" ht="15.75" x14ac:dyDescent="0.25">
      <c r="A8" s="4" t="s">
        <v>244</v>
      </c>
      <c r="B8" s="4" t="s">
        <v>199</v>
      </c>
      <c r="C8" s="9"/>
      <c r="D8" s="9" t="s">
        <v>251</v>
      </c>
      <c r="E8" s="10"/>
      <c r="F8" s="11">
        <v>4</v>
      </c>
      <c r="G8" s="11">
        <v>1</v>
      </c>
      <c r="H8" s="10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</row>
    <row r="9" spans="1:19" ht="15.75" x14ac:dyDescent="0.25">
      <c r="A9" s="4" t="s">
        <v>244</v>
      </c>
      <c r="B9" s="4" t="s">
        <v>205</v>
      </c>
      <c r="D9" s="9" t="s">
        <v>132</v>
      </c>
    </row>
    <row r="10" spans="1:19" ht="15.75" x14ac:dyDescent="0.25">
      <c r="A10" s="4" t="s">
        <v>244</v>
      </c>
      <c r="B10" s="4" t="s">
        <v>240</v>
      </c>
      <c r="D10" s="9" t="s">
        <v>251</v>
      </c>
    </row>
    <row r="11" spans="1:19" ht="15.75" x14ac:dyDescent="0.25">
      <c r="A11" s="4" t="s">
        <v>14</v>
      </c>
      <c r="B11" s="4" t="s">
        <v>159</v>
      </c>
      <c r="D11" s="9" t="s">
        <v>251</v>
      </c>
    </row>
    <row r="12" spans="1:19" ht="15.75" x14ac:dyDescent="0.25">
      <c r="A12" s="4" t="s">
        <v>14</v>
      </c>
      <c r="B12" s="4" t="s">
        <v>142</v>
      </c>
      <c r="D12" s="9" t="s">
        <v>251</v>
      </c>
    </row>
    <row r="13" spans="1:19" ht="15.75" x14ac:dyDescent="0.25">
      <c r="A13" s="4" t="s">
        <v>244</v>
      </c>
      <c r="B13" s="4" t="s">
        <v>212</v>
      </c>
      <c r="D13" s="9" t="s">
        <v>251</v>
      </c>
    </row>
    <row r="14" spans="1:19" ht="15.75" x14ac:dyDescent="0.25">
      <c r="A14" s="4" t="s">
        <v>244</v>
      </c>
      <c r="B14" s="4" t="s">
        <v>220</v>
      </c>
      <c r="D14" s="9" t="s">
        <v>250</v>
      </c>
    </row>
    <row r="15" spans="1:19" ht="15.75" x14ac:dyDescent="0.25">
      <c r="A15" s="4" t="s">
        <v>244</v>
      </c>
      <c r="B15" s="4" t="s">
        <v>221</v>
      </c>
      <c r="D15" s="9" t="s">
        <v>251</v>
      </c>
    </row>
    <row r="16" spans="1:19" ht="15.75" x14ac:dyDescent="0.25">
      <c r="A16" s="4" t="s">
        <v>244</v>
      </c>
      <c r="B16" s="4" t="s">
        <v>230</v>
      </c>
      <c r="D16" s="9" t="s">
        <v>251</v>
      </c>
    </row>
    <row r="17" spans="1:4" ht="15.75" x14ac:dyDescent="0.25">
      <c r="A17" s="4" t="s">
        <v>14</v>
      </c>
      <c r="B17" s="4" t="s">
        <v>190</v>
      </c>
      <c r="D17" s="9" t="s">
        <v>251</v>
      </c>
    </row>
    <row r="18" spans="1:4" ht="15.75" x14ac:dyDescent="0.25">
      <c r="A18" s="4" t="s">
        <v>14</v>
      </c>
      <c r="B18" s="4" t="s">
        <v>140</v>
      </c>
      <c r="D18" s="9" t="s">
        <v>251</v>
      </c>
    </row>
  </sheetData>
  <dataValidations count="5">
    <dataValidation type="list" allowBlank="1" showInputMessage="1" showErrorMessage="1" sqref="A8:A18">
      <formula1>Productos</formula1>
    </dataValidation>
    <dataValidation type="date" allowBlank="1" showInputMessage="1" showErrorMessage="1" prompt="Las fechas deben estar entre 01/01/2010 y 31/12/2015" sqref="E1">
      <formula1>40179</formula1>
      <formula2>42369</formula2>
    </dataValidation>
    <dataValidation type="list" allowBlank="1" showInputMessage="1" showErrorMessage="1" sqref="B18">
      <formula1>INDIRECT(A18)</formula1>
    </dataValidation>
    <dataValidation type="list" allowBlank="1" showInputMessage="1" showErrorMessage="1" sqref="D8:D18">
      <formula1>#REF!</formula1>
    </dataValidation>
    <dataValidation type="list" allowBlank="1" showInputMessage="1" showErrorMessage="1" sqref="B8 B9 B10 B11 B12 B13 B14 B15 B16 B17">
      <formula1>INDIRECT(A8)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01A84E5011B04BB0B625E2436F89DE" ma:contentTypeVersion="0" ma:contentTypeDescription="Create a new document." ma:contentTypeScope="" ma:versionID="1eea42ec91b44e42d990003664171fc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93A307F-734E-4C08-806E-A18F444C98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8B476A5-4D4B-4744-95DF-328D4CBA4E5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C4ECF7-3567-4BB5-AC2E-7BEC5A6FC666}">
  <ds:schemaRefs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Empaquetado</vt:lpstr>
      <vt:lpstr>Productos</vt:lpstr>
      <vt:lpstr>Formulario de pedidos</vt:lpstr>
      <vt:lpstr>NúmerosSabores</vt:lpstr>
      <vt:lpstr>NúmerosTé</vt:lpstr>
      <vt:lpstr>Productos</vt:lpstr>
      <vt:lpstr>Sabores</vt:lpstr>
      <vt:lpstr>Tés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MarielC</cp:lastModifiedBy>
  <cp:lastPrinted>2010-09-10T02:34:02Z</cp:lastPrinted>
  <dcterms:created xsi:type="dcterms:W3CDTF">2010-08-31T18:15:10Z</dcterms:created>
  <dcterms:modified xsi:type="dcterms:W3CDTF">2014-11-20T13:58:38Z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0x010100E901A84E5011B04BB0B625E2436F89DE</vt:lpwstr>
  </property>
</Properties>
</file>